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uns" sheetId="1" state="visible" r:id="rId1"/>
    <sheet name="Summary" sheetId="2" state="visible" r:id="rId2"/>
    <sheet name="Provenan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1" customWidth="1" min="4" max="4"/>
    <col width="11" customWidth="1" min="5" max="5"/>
    <col width="11" customWidth="1" min="6" max="6"/>
    <col width="62" customWidth="1" min="7" max="7"/>
    <col width="60" customWidth="1" min="8" max="8"/>
  </cols>
  <sheetData>
    <row r="1">
      <c r="A1" s="1" t="inlineStr">
        <is>
          <t>dataset</t>
        </is>
      </c>
      <c r="B1" s="1" t="inlineStr">
        <is>
          <t>split</t>
        </is>
      </c>
      <c r="C1" s="1" t="inlineStr">
        <is>
          <t>stage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LLM used for synthesis</t>
        </is>
      </c>
      <c r="H1" s="1" t="inlineStr">
        <is>
          <t>source file path</t>
        </is>
      </c>
    </row>
    <row r="2">
      <c r="A2" t="inlineStr">
        <is>
          <t>fewrel_defon</t>
        </is>
      </c>
      <c r="B2" t="n">
        <v>1</v>
      </c>
      <c r="C2" t="inlineStr">
        <is>
          <t>initial</t>
        </is>
      </c>
      <c r="D2" s="2" t="n">
        <v>0.7083567817761109</v>
      </c>
      <c r="E2" s="2" t="n">
        <v>0.7414278930945597</v>
      </c>
      <c r="F2" s="2" t="n">
        <v>0.6548854592175949</v>
      </c>
      <c r="G2" t="inlineStr">
        <is>
          <t>GPT-4o (authors' cached bundle, gpt-4o-2024-05-13)</t>
        </is>
      </c>
      <c r="H2" t="inlineStr">
        <is>
          <t>results/fewrel_defon_1/initial/metrics.json</t>
        </is>
      </c>
    </row>
    <row r="3">
      <c r="A3" t="inlineStr">
        <is>
          <t>fewrel_defon</t>
        </is>
      </c>
      <c r="B3" t="n">
        <v>1</v>
      </c>
      <c r="C3" t="inlineStr">
        <is>
          <t>followup</t>
        </is>
      </c>
      <c r="D3" s="2" t="n">
        <v>0.8094378770401972</v>
      </c>
      <c r="E3" s="2" t="n">
        <v>0.6634567901234568</v>
      </c>
      <c r="F3" s="2" t="n">
        <v>0.6860464303194048</v>
      </c>
      <c r="G3" t="inlineStr">
        <is>
          <t>GPT-4o (authors' cached bundle, gpt-4o-2024-05-13)</t>
        </is>
      </c>
      <c r="H3" t="inlineStr">
        <is>
          <t>results/fewrel_defon_1/followup/metrics.json</t>
        </is>
      </c>
    </row>
    <row r="4">
      <c r="A4" t="inlineStr">
        <is>
          <t>fewrel_defon</t>
        </is>
      </c>
      <c r="B4" t="n">
        <v>2</v>
      </c>
      <c r="C4" t="inlineStr">
        <is>
          <t>initial</t>
        </is>
      </c>
      <c r="D4" s="2" t="n">
        <v>0.5963977366750637</v>
      </c>
      <c r="E4" s="2" t="n">
        <v>0.8096218287884955</v>
      </c>
      <c r="F4" s="2" t="n">
        <v>0.6539319569940901</v>
      </c>
      <c r="G4" t="inlineStr">
        <is>
          <t>GPT-4o (authors' cached bundle, gpt-4o-2024-05-13)</t>
        </is>
      </c>
      <c r="H4" t="inlineStr">
        <is>
          <t>results/fewrel_defon_2/initial/metrics.json</t>
        </is>
      </c>
    </row>
    <row r="5">
      <c r="A5" t="inlineStr">
        <is>
          <t>fewrel_defon</t>
        </is>
      </c>
      <c r="B5" t="n">
        <v>2</v>
      </c>
      <c r="C5" t="inlineStr">
        <is>
          <t>followup</t>
        </is>
      </c>
      <c r="D5" s="2" t="n">
        <v>0.8723542711123565</v>
      </c>
      <c r="E5" s="2" t="n">
        <v>0.710742097408764</v>
      </c>
      <c r="F5" s="2" t="n">
        <v>0.7559229284464452</v>
      </c>
      <c r="G5" t="inlineStr">
        <is>
          <t>GPT-4o (authors' cached bundle, gpt-4o-2024-05-13)</t>
        </is>
      </c>
      <c r="H5" t="inlineStr">
        <is>
          <t>results/fewrel_defon_2/followup/metrics.json</t>
        </is>
      </c>
    </row>
    <row r="6">
      <c r="A6" t="inlineStr">
        <is>
          <t>fewrel_defon</t>
        </is>
      </c>
      <c r="B6" t="n">
        <v>3</v>
      </c>
      <c r="C6" t="inlineStr">
        <is>
          <t>initial</t>
        </is>
      </c>
      <c r="D6" s="2" t="n">
        <v>0.6697600555957655</v>
      </c>
      <c r="E6" s="2" t="n">
        <v>0.7356576448243116</v>
      </c>
      <c r="F6" s="2" t="n">
        <v>0.643478489400474</v>
      </c>
      <c r="G6" t="inlineStr">
        <is>
          <t>GPT-4o (authors' cached bundle, gpt-4o-2024-05-13)</t>
        </is>
      </c>
      <c r="H6" t="inlineStr">
        <is>
          <t>results/fewrel_defon_3/initial/metrics.json</t>
        </is>
      </c>
    </row>
    <row r="7">
      <c r="A7" t="inlineStr">
        <is>
          <t>fewrel_defon</t>
        </is>
      </c>
      <c r="B7" t="n">
        <v>3</v>
      </c>
      <c r="C7" t="inlineStr">
        <is>
          <t>followup</t>
        </is>
      </c>
      <c r="D7" s="2" t="n">
        <v>0.74025603027494</v>
      </c>
      <c r="E7" s="2" t="n">
        <v>0.6759659476326144</v>
      </c>
      <c r="F7" s="2" t="n">
        <v>0.6551047875315433</v>
      </c>
      <c r="G7" t="inlineStr">
        <is>
          <t>GPT-4o (authors' cached bundle, gpt-4o-2024-05-13)</t>
        </is>
      </c>
      <c r="H7" t="inlineStr">
        <is>
          <t>results/fewrel_defon_3/followup/metrics.json</t>
        </is>
      </c>
    </row>
    <row r="8">
      <c r="A8" t="inlineStr">
        <is>
          <t>fewrel_defon</t>
        </is>
      </c>
      <c r="B8" t="n">
        <v>4</v>
      </c>
      <c r="C8" t="inlineStr">
        <is>
          <t>initial</t>
        </is>
      </c>
      <c r="D8" s="2" t="n">
        <v>0.759903940616011</v>
      </c>
      <c r="E8" s="2" t="n">
        <v>0.7298412698412697</v>
      </c>
      <c r="F8" s="2" t="n">
        <v>0.6620205725813165</v>
      </c>
      <c r="G8" t="inlineStr">
        <is>
          <t>GPT-4o (authors' cached bundle, gpt-4o-2024-05-13)</t>
        </is>
      </c>
      <c r="H8" t="inlineStr">
        <is>
          <t>results/fewrel_defon_4/initial/metrics.json</t>
        </is>
      </c>
    </row>
    <row r="9">
      <c r="A9" t="inlineStr">
        <is>
          <t>fewrel_defon</t>
        </is>
      </c>
      <c r="B9" t="n">
        <v>4</v>
      </c>
      <c r="C9" t="inlineStr">
        <is>
          <t>followup</t>
        </is>
      </c>
      <c r="D9" s="2" t="n">
        <v>0.7891628965304356</v>
      </c>
      <c r="E9" s="2" t="n">
        <v>0.689549247049247</v>
      </c>
      <c r="F9" s="2" t="n">
        <v>0.6877101897028899</v>
      </c>
      <c r="G9" t="inlineStr">
        <is>
          <t>GPT-4o (authors' cached bundle, gpt-4o-2024-05-13)</t>
        </is>
      </c>
      <c r="H9" t="inlineStr">
        <is>
          <t>results/fewrel_defon_4/followup/metrics.json</t>
        </is>
      </c>
    </row>
    <row r="10">
      <c r="A10" t="inlineStr">
        <is>
          <t>fewrel_defon</t>
        </is>
      </c>
      <c r="B10" t="n">
        <v>5</v>
      </c>
      <c r="C10" t="inlineStr">
        <is>
          <t>initial</t>
        </is>
      </c>
      <c r="D10" s="2" t="n">
        <v>0.6177808564265131</v>
      </c>
      <c r="E10" s="2" t="n">
        <v>0.7588491169847102</v>
      </c>
      <c r="F10" s="2" t="n">
        <v>0.6295240908360676</v>
      </c>
      <c r="G10" t="inlineStr">
        <is>
          <t>GPT-4o (authors' cached bundle, gpt-4o-2024-05-13)</t>
        </is>
      </c>
      <c r="H10" t="inlineStr">
        <is>
          <t>results/fewrel_defon_5/initial/metrics.json</t>
        </is>
      </c>
    </row>
    <row r="11">
      <c r="A11" t="inlineStr">
        <is>
          <t>fewrel_defon</t>
        </is>
      </c>
      <c r="B11" t="n">
        <v>5</v>
      </c>
      <c r="C11" t="inlineStr">
        <is>
          <t>followup</t>
        </is>
      </c>
      <c r="D11" s="2" t="n">
        <v>0.7598368045010214</v>
      </c>
      <c r="E11" s="2" t="n">
        <v>0.7007206352969064</v>
      </c>
      <c r="F11" s="2" t="n">
        <v>0.6963397166444258</v>
      </c>
      <c r="G11" t="inlineStr">
        <is>
          <t>GPT-4o (authors' cached bundle, gpt-4o-2024-05-13)</t>
        </is>
      </c>
      <c r="H11" t="inlineStr">
        <is>
          <t>results/fewrel_defon_5/followup/metrics.json</t>
        </is>
      </c>
    </row>
    <row r="12">
      <c r="A12" t="inlineStr">
        <is>
          <t>wikizsl_defon</t>
        </is>
      </c>
      <c r="B12" t="n">
        <v>1</v>
      </c>
      <c r="C12" t="inlineStr">
        <is>
          <t>initial</t>
        </is>
      </c>
      <c r="D12" s="2" t="n">
        <v>0.5279338408282105</v>
      </c>
      <c r="E12" s="2" t="n">
        <v>0.6041158012246872</v>
      </c>
      <c r="F12" s="2" t="n">
        <v>0.5124999124522722</v>
      </c>
      <c r="G12" t="inlineStr">
        <is>
          <t>GPT-4o (authors' cached bundle, gpt-4o-2024-05-13)</t>
        </is>
      </c>
      <c r="H12" t="inlineStr">
        <is>
          <t>results/wikizsl_defon_1/initial/metrics.json</t>
        </is>
      </c>
    </row>
    <row r="13">
      <c r="A13" t="inlineStr">
        <is>
          <t>wikizsl_defon</t>
        </is>
      </c>
      <c r="B13" t="n">
        <v>1</v>
      </c>
      <c r="C13" t="inlineStr">
        <is>
          <t>followup</t>
        </is>
      </c>
      <c r="D13" s="2" t="n">
        <v>0.6676726317140563</v>
      </c>
      <c r="E13" s="2" t="n">
        <v>0.5220473495392448</v>
      </c>
      <c r="F13" s="2" t="n">
        <v>0.5126848223448411</v>
      </c>
      <c r="G13" t="inlineStr">
        <is>
          <t>GPT-4o (authors' cached bundle, gpt-4o-2024-05-13)</t>
        </is>
      </c>
      <c r="H13" t="inlineStr">
        <is>
          <t>results/wikizsl_defon_1/followup/metrics.json</t>
        </is>
      </c>
    </row>
    <row r="14">
      <c r="A14" t="inlineStr">
        <is>
          <t>wikizsl_defon</t>
        </is>
      </c>
      <c r="B14" t="n">
        <v>2</v>
      </c>
      <c r="C14" t="inlineStr">
        <is>
          <t>initial</t>
        </is>
      </c>
      <c r="D14" s="2" t="n">
        <v>0.7706004246477551</v>
      </c>
      <c r="E14" s="2" t="n">
        <v>0.4086080498374395</v>
      </c>
      <c r="F14" s="2" t="n">
        <v>0.4590702007351691</v>
      </c>
      <c r="G14" t="inlineStr">
        <is>
          <t>GPT-4o (authors' cached bundle, gpt-4o-2024-05-13)</t>
        </is>
      </c>
      <c r="H14" t="inlineStr">
        <is>
          <t>results/wikizsl_defon_2/initial/metrics.json</t>
        </is>
      </c>
    </row>
    <row r="15">
      <c r="A15" t="inlineStr">
        <is>
          <t>wikizsl_defon</t>
        </is>
      </c>
      <c r="B15" t="n">
        <v>2</v>
      </c>
      <c r="C15" t="inlineStr">
        <is>
          <t>followup</t>
        </is>
      </c>
      <c r="D15" s="2" t="n">
        <v>0.7317091515909302</v>
      </c>
      <c r="E15" s="2" t="n">
        <v>0.3119700421218394</v>
      </c>
      <c r="F15" s="2" t="n">
        <v>0.3926488942427032</v>
      </c>
      <c r="G15" t="inlineStr">
        <is>
          <t>GPT-4o (authors' cached bundle, gpt-4o-2024-05-13)</t>
        </is>
      </c>
      <c r="H15" t="inlineStr">
        <is>
          <t>results/wikizsl_defon_2/followup/metrics.json</t>
        </is>
      </c>
    </row>
    <row r="16">
      <c r="A16" t="inlineStr">
        <is>
          <t>wikizsl_defon</t>
        </is>
      </c>
      <c r="B16" t="n">
        <v>3</v>
      </c>
      <c r="C16" t="inlineStr">
        <is>
          <t>initial</t>
        </is>
      </c>
      <c r="D16" s="2" t="n">
        <v>0.6431629423226468</v>
      </c>
      <c r="E16" s="2" t="n">
        <v>0.5294494024410705</v>
      </c>
      <c r="F16" s="2" t="n">
        <v>0.5028729653726356</v>
      </c>
      <c r="G16" t="inlineStr">
        <is>
          <t>GPT-4o (authors' cached bundle, gpt-4o-2024-05-13)</t>
        </is>
      </c>
      <c r="H16" t="inlineStr">
        <is>
          <t>results/wikizsl_defon_3/initial/metrics.json</t>
        </is>
      </c>
    </row>
    <row r="17">
      <c r="A17" t="inlineStr">
        <is>
          <t>wikizsl_defon</t>
        </is>
      </c>
      <c r="B17" t="n">
        <v>3</v>
      </c>
      <c r="C17" t="inlineStr">
        <is>
          <t>followup</t>
        </is>
      </c>
      <c r="D17" s="2" t="n">
        <v>0.6611821768579897</v>
      </c>
      <c r="E17" s="2" t="n">
        <v>0.435734199023312</v>
      </c>
      <c r="F17" s="2" t="n">
        <v>0.4731612287298169</v>
      </c>
      <c r="G17" t="inlineStr">
        <is>
          <t>GPT-4o (authors' cached bundle, gpt-4o-2024-05-13)</t>
        </is>
      </c>
      <c r="H17" t="inlineStr">
        <is>
          <t>results/wikizsl_defon_3/followup/metrics.json</t>
        </is>
      </c>
    </row>
    <row r="18">
      <c r="A18" t="inlineStr">
        <is>
          <t>semeval</t>
        </is>
      </c>
      <c r="B18" t="n">
        <v>1</v>
      </c>
      <c r="C18" t="inlineStr">
        <is>
          <t>initial</t>
        </is>
      </c>
      <c r="D18" s="2" t="n">
        <v>0.4542290144201658</v>
      </c>
      <c r="E18" s="2" t="n">
        <v>0.2038651362205371</v>
      </c>
      <c r="F18" s="2" t="n">
        <v>0.1903714594253245</v>
      </c>
      <c r="G18" t="inlineStr">
        <is>
          <t>Qwen/Qwen2.5-32B-Instruct-AWQ</t>
        </is>
      </c>
      <c r="H18" t="inlineStr">
        <is>
          <t>results/semeval_1/initial/metrics.json</t>
        </is>
      </c>
    </row>
    <row r="19">
      <c r="A19" t="inlineStr">
        <is>
          <t>semeval</t>
        </is>
      </c>
      <c r="B19" t="n">
        <v>1</v>
      </c>
      <c r="C19" t="inlineStr">
        <is>
          <t>followup</t>
        </is>
      </c>
      <c r="D19" s="2" t="n">
        <v>0.4549255227303913</v>
      </c>
      <c r="E19" s="2" t="n">
        <v>0.358648921145535</v>
      </c>
      <c r="F19" s="2" t="n">
        <v>0.309902759191</v>
      </c>
      <c r="G19" t="inlineStr">
        <is>
          <t>Qwen/Qwen2.5-32B-Instruct-AWQ</t>
        </is>
      </c>
      <c r="H19" t="inlineStr">
        <is>
          <t>results/semeval_1/followup/metrics.json</t>
        </is>
      </c>
    </row>
    <row r="20">
      <c r="A20" t="inlineStr">
        <is>
          <t>semeval_qwen3</t>
        </is>
      </c>
      <c r="B20" t="n">
        <v>1</v>
      </c>
      <c r="C20" t="inlineStr">
        <is>
          <t>initial</t>
        </is>
      </c>
      <c r="D20" s="2" t="n">
        <v>0.4255306509821035</v>
      </c>
      <c r="E20" s="2" t="n">
        <v>0.3096634059647807</v>
      </c>
      <c r="F20" s="2" t="n">
        <v>0.2510227527349764</v>
      </c>
      <c r="G20" t="inlineStr">
        <is>
          <t>Qwen/Qwen3-32B-AWQ</t>
        </is>
      </c>
      <c r="H20" t="inlineStr">
        <is>
          <t>results/semeval_qwen3_1/initial/metrics.json</t>
        </is>
      </c>
    </row>
    <row r="21">
      <c r="A21" t="inlineStr">
        <is>
          <t>semeval_qwen3</t>
        </is>
      </c>
      <c r="B21" t="n">
        <v>1</v>
      </c>
      <c r="C21" t="inlineStr">
        <is>
          <t>followup</t>
        </is>
      </c>
      <c r="D21" s="2" t="n">
        <v>0.4672434460474201</v>
      </c>
      <c r="E21" s="2" t="n">
        <v>0.2570498167228557</v>
      </c>
      <c r="F21" s="2" t="n">
        <v>0.1964274795787684</v>
      </c>
      <c r="G21" t="inlineStr">
        <is>
          <t>Qwen/Qwen3-32B-AWQ</t>
        </is>
      </c>
      <c r="H21" t="inlineStr">
        <is>
          <t>results/semeval_qwen3_1/followup/metrics.json</t>
        </is>
      </c>
    </row>
    <row r="22">
      <c r="A22" t="inlineStr">
        <is>
          <t>nyt</t>
        </is>
      </c>
      <c r="B22" t="n">
        <v>1</v>
      </c>
      <c r="C22" t="inlineStr">
        <is>
          <t>initial</t>
        </is>
      </c>
      <c r="D22" s="2" t="n">
        <v>0.5194660604477872</v>
      </c>
      <c r="E22" s="2" t="n">
        <v>0.5696000000000001</v>
      </c>
      <c r="F22" s="2" t="n">
        <v>0.4834861053585701</v>
      </c>
      <c r="G22" t="inlineStr">
        <is>
          <t>Qwen/Qwen2.5-32B-Instruct-AWQ</t>
        </is>
      </c>
      <c r="H22" t="inlineStr">
        <is>
          <t>results/nyt_1/initial/metrics.json</t>
        </is>
      </c>
    </row>
    <row r="23">
      <c r="A23" t="inlineStr">
        <is>
          <t>nyt</t>
        </is>
      </c>
      <c r="B23" t="n">
        <v>1</v>
      </c>
      <c r="C23" t="inlineStr">
        <is>
          <t>followup</t>
        </is>
      </c>
      <c r="D23" s="2" t="n">
        <v>0.6865321335274949</v>
      </c>
      <c r="E23" s="2" t="n">
        <v>0.4568</v>
      </c>
      <c r="F23" s="2" t="n">
        <v>0.4709983630881411</v>
      </c>
      <c r="G23" t="inlineStr">
        <is>
          <t>Qwen/Qwen2.5-32B-Instruct-AWQ</t>
        </is>
      </c>
      <c r="H23" t="inlineStr">
        <is>
          <t>results/nyt_1/followup/metrics.json</t>
        </is>
      </c>
    </row>
    <row r="24">
      <c r="A24" t="inlineStr">
        <is>
          <t>fewrel_defon10k</t>
        </is>
      </c>
      <c r="B24" t="n">
        <v>1</v>
      </c>
      <c r="C24" t="inlineStr">
        <is>
          <t>initial</t>
        </is>
      </c>
      <c r="D24" s="2" t="n">
        <v>0.7199780370568132</v>
      </c>
      <c r="E24" s="2" t="n">
        <v>0.8048334690001354</v>
      </c>
      <c r="F24" s="2" t="n">
        <v>0.7357677054449073</v>
      </c>
      <c r="G24" t="inlineStr">
        <is>
          <t>GPT-4o (authors' cached seed examples, gpt-4o-2024-05-13)</t>
        </is>
      </c>
      <c r="H24" t="inlineStr">
        <is>
          <t>results/fewrel_defon10k_1/initial/metrics.json</t>
        </is>
      </c>
    </row>
    <row r="25">
      <c r="A25" t="inlineStr">
        <is>
          <t>fewrel_defon10k</t>
        </is>
      </c>
      <c r="B25" t="n">
        <v>1</v>
      </c>
      <c r="C25" t="inlineStr">
        <is>
          <t>followup</t>
        </is>
      </c>
      <c r="D25" s="2" t="n">
        <v>0.8373862109818074</v>
      </c>
      <c r="E25" s="2" t="n">
        <v>0.5985497218830552</v>
      </c>
      <c r="F25" s="2" t="n">
        <v>0.659011058313934</v>
      </c>
      <c r="G25" t="inlineStr">
        <is>
          <t>Qwen/Qwen2.5-32B-Instruct-AWQ</t>
        </is>
      </c>
      <c r="H25" t="inlineStr">
        <is>
          <t>results/fewrel_defon10k_1/followup/metrics.json</t>
        </is>
      </c>
    </row>
    <row r="26">
      <c r="A26" t="inlineStr">
        <is>
          <t>fewrel_defon10k</t>
        </is>
      </c>
      <c r="B26" t="n">
        <v>2</v>
      </c>
      <c r="C26" t="inlineStr">
        <is>
          <t>initial</t>
        </is>
      </c>
      <c r="D26" s="2" t="n">
        <v>0.6972219207626527</v>
      </c>
      <c r="E26" s="2" t="n">
        <v>0.7907614299280966</v>
      </c>
      <c r="F26" s="2" t="n">
        <v>0.6960974929628254</v>
      </c>
      <c r="G26" t="inlineStr">
        <is>
          <t>GPT-4o (authors' cached seed examples, gpt-4o-2024-05-13)</t>
        </is>
      </c>
      <c r="H26" t="inlineStr">
        <is>
          <t>results/fewrel_defon10k_2/initial/metrics.json</t>
        </is>
      </c>
    </row>
    <row r="27">
      <c r="A27" t="inlineStr">
        <is>
          <t>fewrel_defon10k</t>
        </is>
      </c>
      <c r="B27" t="n">
        <v>2</v>
      </c>
      <c r="C27" t="inlineStr">
        <is>
          <t>followup</t>
        </is>
      </c>
      <c r="D27" s="2" t="n">
        <v>0.7983291940469815</v>
      </c>
      <c r="E27" s="2" t="n">
        <v>0.6819580111246778</v>
      </c>
      <c r="F27" s="2" t="n">
        <v>0.7027163296222263</v>
      </c>
      <c r="G27" t="inlineStr">
        <is>
          <t>Qwen/Qwen2.5-32B-Instruct-AWQ</t>
        </is>
      </c>
      <c r="H27" t="inlineStr">
        <is>
          <t>results/fewrel_defon10k_2/followup/metrics.json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1" customWidth="1" min="4" max="4"/>
    <col width="15" customWidth="1" min="5" max="5"/>
    <col width="22" customWidth="1" min="6" max="6"/>
    <col width="13" customWidth="1" min="7" max="7"/>
    <col width="24" customWidth="1" min="8" max="8"/>
  </cols>
  <sheetData>
    <row r="1">
      <c r="A1" s="1" t="inlineStr">
        <is>
          <t>dataset</t>
        </is>
      </c>
      <c r="B1" s="1" t="inlineStr">
        <is>
          <t>stage</t>
        </is>
      </c>
      <c r="C1" s="1" t="inlineStr">
        <is>
          <t>n splits</t>
        </is>
      </c>
      <c r="D1" s="1" t="inlineStr">
        <is>
          <t>mean F1</t>
        </is>
      </c>
      <c r="E1" s="1" t="inlineStr">
        <is>
          <t>std F1 (sample)</t>
        </is>
      </c>
      <c r="F1" s="1" t="inlineStr">
        <is>
          <t>paper F1 (REPaL w/ GPT-4o, v2 Table 1)</t>
        </is>
      </c>
      <c r="G1" s="1" t="inlineStr">
        <is>
          <t>mean - paper</t>
        </is>
      </c>
      <c r="H1" s="1" t="inlineStr">
        <is>
          <t>std F1 (population; = aggregate.csv convention)</t>
        </is>
      </c>
    </row>
    <row r="2">
      <c r="A2" t="inlineStr">
        <is>
          <t>fewrel_defon</t>
        </is>
      </c>
      <c r="B2" t="inlineStr">
        <is>
          <t>initial</t>
        </is>
      </c>
      <c r="C2">
        <f>COUNTIFS('All runs'!$A$2:$A$27,A2,'All runs'!$C$2:$C$27,B2)</f>
        <v/>
      </c>
      <c r="D2" s="2">
        <f>IF(C2=0,"n/a",AVERAGEIFS('All runs'!$F$2:$F$27,'All runs'!$A$2:$A$27,A2,'All runs'!$C$2:$C$27,B2))</f>
        <v/>
      </c>
      <c r="E2" s="2">
        <f>IF(C2&gt;1,SQRT((SUMPRODUCT(('All runs'!$A$2:$A$27=A2)*('All runs'!$C$2:$C$27=B2)*'All runs'!$F$2:$F$27^2)-C2*D2^2)/(C2-1)),0)</f>
        <v/>
      </c>
      <c r="F2" s="2" t="inlineStr">
        <is>
          <t>n/a</t>
        </is>
      </c>
      <c r="G2" s="2">
        <f>IF(ISNUMBER(F2),D2-F2,"n/a")</f>
        <v/>
      </c>
      <c r="H2" s="2">
        <f>IF(C2&gt;1,E2*SQRT((C2-1)/C2),0)</f>
        <v/>
      </c>
    </row>
    <row r="3">
      <c r="A3" t="inlineStr">
        <is>
          <t>fewrel_defon</t>
        </is>
      </c>
      <c r="B3" t="inlineStr">
        <is>
          <t>followup</t>
        </is>
      </c>
      <c r="C3">
        <f>COUNTIFS('All runs'!$A$2:$A$27,A3,'All runs'!$C$2:$C$27,B3)</f>
        <v/>
      </c>
      <c r="D3" s="2">
        <f>IF(C3=0,"n/a",AVERAGEIFS('All runs'!$F$2:$F$27,'All runs'!$A$2:$A$27,A3,'All runs'!$C$2:$C$27,B3))</f>
        <v/>
      </c>
      <c r="E3" s="2">
        <f>IF(C3&gt;1,SQRT((SUMPRODUCT(('All runs'!$A$2:$A$27=A3)*('All runs'!$C$2:$C$27=B3)*'All runs'!$F$2:$F$27^2)-C3*D3^2)/(C3-1)),0)</f>
        <v/>
      </c>
      <c r="F3" s="2" t="n">
        <v>0.7461</v>
      </c>
      <c r="G3" s="2">
        <f>IF(ISNUMBER(F3),D3-F3,"n/a")</f>
        <v/>
      </c>
      <c r="H3" s="2">
        <f>IF(C3&gt;1,E3*SQRT((C3-1)/C3),0)</f>
        <v/>
      </c>
    </row>
    <row r="4">
      <c r="A4" t="inlineStr">
        <is>
          <t>wikizsl_defon</t>
        </is>
      </c>
      <c r="B4" t="inlineStr">
        <is>
          <t>initial</t>
        </is>
      </c>
      <c r="C4">
        <f>COUNTIFS('All runs'!$A$2:$A$27,A4,'All runs'!$C$2:$C$27,B4)</f>
        <v/>
      </c>
      <c r="D4" s="2">
        <f>IF(C4=0,"n/a",AVERAGEIFS('All runs'!$F$2:$F$27,'All runs'!$A$2:$A$27,A4,'All runs'!$C$2:$C$27,B4))</f>
        <v/>
      </c>
      <c r="E4" s="2">
        <f>IF(C4&gt;1,SQRT((SUMPRODUCT(('All runs'!$A$2:$A$27=A4)*('All runs'!$C$2:$C$27=B4)*'All runs'!$F$2:$F$27^2)-C4*D4^2)/(C4-1)),0)</f>
        <v/>
      </c>
      <c r="F4" s="2" t="inlineStr">
        <is>
          <t>n/a</t>
        </is>
      </c>
      <c r="G4" s="2">
        <f>IF(ISNUMBER(F4),D4-F4,"n/a")</f>
        <v/>
      </c>
      <c r="H4" s="2">
        <f>IF(C4&gt;1,E4*SQRT((C4-1)/C4),0)</f>
        <v/>
      </c>
    </row>
    <row r="5">
      <c r="A5" t="inlineStr">
        <is>
          <t>wikizsl_defon</t>
        </is>
      </c>
      <c r="B5" t="inlineStr">
        <is>
          <t>followup</t>
        </is>
      </c>
      <c r="C5">
        <f>COUNTIFS('All runs'!$A$2:$A$27,A5,'All runs'!$C$2:$C$27,B5)</f>
        <v/>
      </c>
      <c r="D5" s="2">
        <f>IF(C5=0,"n/a",AVERAGEIFS('All runs'!$F$2:$F$27,'All runs'!$A$2:$A$27,A5,'All runs'!$C$2:$C$27,B5))</f>
        <v/>
      </c>
      <c r="E5" s="2">
        <f>IF(C5&gt;1,SQRT((SUMPRODUCT(('All runs'!$A$2:$A$27=A5)*('All runs'!$C$2:$C$27=B5)*'All runs'!$F$2:$F$27^2)-C5*D5^2)/(C5-1)),0)</f>
        <v/>
      </c>
      <c r="F5" s="2" t="n">
        <v>0.478</v>
      </c>
      <c r="G5" s="2">
        <f>IF(ISNUMBER(F5),D5-F5,"n/a")</f>
        <v/>
      </c>
      <c r="H5" s="2">
        <f>IF(C5&gt;1,E5*SQRT((C5-1)/C5),0)</f>
        <v/>
      </c>
    </row>
    <row r="6">
      <c r="A6" t="inlineStr">
        <is>
          <t>semeval</t>
        </is>
      </c>
      <c r="B6" t="inlineStr">
        <is>
          <t>initial</t>
        </is>
      </c>
      <c r="C6">
        <f>COUNTIFS('All runs'!$A$2:$A$27,A6,'All runs'!$C$2:$C$27,B6)</f>
        <v/>
      </c>
      <c r="D6" s="2">
        <f>IF(C6=0,"n/a",AVERAGEIFS('All runs'!$F$2:$F$27,'All runs'!$A$2:$A$27,A6,'All runs'!$C$2:$C$27,B6))</f>
        <v/>
      </c>
      <c r="E6" s="2">
        <f>IF(C6&gt;1,SQRT((SUMPRODUCT(('All runs'!$A$2:$A$27=A6)*('All runs'!$C$2:$C$27=B6)*'All runs'!$F$2:$F$27^2)-C6*D6^2)/(C6-1)),0)</f>
        <v/>
      </c>
      <c r="F6" s="2" t="inlineStr">
        <is>
          <t>n/a</t>
        </is>
      </c>
      <c r="G6" s="2">
        <f>IF(ISNUMBER(F6),D6-F6,"n/a")</f>
        <v/>
      </c>
      <c r="H6" s="2">
        <f>IF(C6&gt;1,E6*SQRT((C6-1)/C6),0)</f>
        <v/>
      </c>
    </row>
    <row r="7">
      <c r="A7" t="inlineStr">
        <is>
          <t>semeval</t>
        </is>
      </c>
      <c r="B7" t="inlineStr">
        <is>
          <t>followup</t>
        </is>
      </c>
      <c r="C7">
        <f>COUNTIFS('All runs'!$A$2:$A$27,A7,'All runs'!$C$2:$C$27,B7)</f>
        <v/>
      </c>
      <c r="D7" s="2">
        <f>IF(C7=0,"n/a",AVERAGEIFS('All runs'!$F$2:$F$27,'All runs'!$A$2:$A$27,A7,'All runs'!$C$2:$C$27,B7))</f>
        <v/>
      </c>
      <c r="E7" s="2">
        <f>IF(C7&gt;1,SQRT((SUMPRODUCT(('All runs'!$A$2:$A$27=A7)*('All runs'!$C$2:$C$27=B7)*'All runs'!$F$2:$F$27^2)-C7*D7^2)/(C7-1)),0)</f>
        <v/>
      </c>
      <c r="F7" s="2" t="inlineStr">
        <is>
          <t>n/a</t>
        </is>
      </c>
      <c r="G7" s="2">
        <f>IF(ISNUMBER(F7),D7-F7,"n/a")</f>
        <v/>
      </c>
      <c r="H7" s="2">
        <f>IF(C7&gt;1,E7*SQRT((C7-1)/C7),0)</f>
        <v/>
      </c>
    </row>
    <row r="8">
      <c r="A8" t="inlineStr">
        <is>
          <t>semeval_qwen3</t>
        </is>
      </c>
      <c r="B8" t="inlineStr">
        <is>
          <t>initial</t>
        </is>
      </c>
      <c r="C8">
        <f>COUNTIFS('All runs'!$A$2:$A$27,A8,'All runs'!$C$2:$C$27,B8)</f>
        <v/>
      </c>
      <c r="D8" s="2">
        <f>IF(C8=0,"n/a",AVERAGEIFS('All runs'!$F$2:$F$27,'All runs'!$A$2:$A$27,A8,'All runs'!$C$2:$C$27,B8))</f>
        <v/>
      </c>
      <c r="E8" s="2">
        <f>IF(C8&gt;1,SQRT((SUMPRODUCT(('All runs'!$A$2:$A$27=A8)*('All runs'!$C$2:$C$27=B8)*'All runs'!$F$2:$F$27^2)-C8*D8^2)/(C8-1)),0)</f>
        <v/>
      </c>
      <c r="F8" s="2" t="inlineStr">
        <is>
          <t>n/a</t>
        </is>
      </c>
      <c r="G8" s="2">
        <f>IF(ISNUMBER(F8),D8-F8,"n/a")</f>
        <v/>
      </c>
      <c r="H8" s="2">
        <f>IF(C8&gt;1,E8*SQRT((C8-1)/C8),0)</f>
        <v/>
      </c>
    </row>
    <row r="9">
      <c r="A9" t="inlineStr">
        <is>
          <t>semeval_qwen3</t>
        </is>
      </c>
      <c r="B9" t="inlineStr">
        <is>
          <t>followup</t>
        </is>
      </c>
      <c r="C9">
        <f>COUNTIFS('All runs'!$A$2:$A$27,A9,'All runs'!$C$2:$C$27,B9)</f>
        <v/>
      </c>
      <c r="D9" s="2">
        <f>IF(C9=0,"n/a",AVERAGEIFS('All runs'!$F$2:$F$27,'All runs'!$A$2:$A$27,A9,'All runs'!$C$2:$C$27,B9))</f>
        <v/>
      </c>
      <c r="E9" s="2">
        <f>IF(C9&gt;1,SQRT((SUMPRODUCT(('All runs'!$A$2:$A$27=A9)*('All runs'!$C$2:$C$27=B9)*'All runs'!$F$2:$F$27^2)-C9*D9^2)/(C9-1)),0)</f>
        <v/>
      </c>
      <c r="F9" s="2" t="inlineStr">
        <is>
          <t>n/a</t>
        </is>
      </c>
      <c r="G9" s="2">
        <f>IF(ISNUMBER(F9),D9-F9,"n/a")</f>
        <v/>
      </c>
      <c r="H9" s="2">
        <f>IF(C9&gt;1,E9*SQRT((C9-1)/C9),0)</f>
        <v/>
      </c>
    </row>
    <row r="10">
      <c r="A10" t="inlineStr">
        <is>
          <t>nyt</t>
        </is>
      </c>
      <c r="B10" t="inlineStr">
        <is>
          <t>initial</t>
        </is>
      </c>
      <c r="C10">
        <f>COUNTIFS('All runs'!$A$2:$A$27,A10,'All runs'!$C$2:$C$27,B10)</f>
        <v/>
      </c>
      <c r="D10" s="2">
        <f>IF(C10=0,"n/a",AVERAGEIFS('All runs'!$F$2:$F$27,'All runs'!$A$2:$A$27,A10,'All runs'!$C$2:$C$27,B10))</f>
        <v/>
      </c>
      <c r="E10" s="2">
        <f>IF(C10&gt;1,SQRT((SUMPRODUCT(('All runs'!$A$2:$A$27=A10)*('All runs'!$C$2:$C$27=B10)*'All runs'!$F$2:$F$27^2)-C10*D10^2)/(C10-1)),0)</f>
        <v/>
      </c>
      <c r="F10" s="2" t="inlineStr">
        <is>
          <t>n/a</t>
        </is>
      </c>
      <c r="G10" s="2">
        <f>IF(ISNUMBER(F10),D10-F10,"n/a")</f>
        <v/>
      </c>
      <c r="H10" s="2">
        <f>IF(C10&gt;1,E10*SQRT((C10-1)/C10),0)</f>
        <v/>
      </c>
    </row>
    <row r="11">
      <c r="A11" t="inlineStr">
        <is>
          <t>nyt</t>
        </is>
      </c>
      <c r="B11" t="inlineStr">
        <is>
          <t>followup</t>
        </is>
      </c>
      <c r="C11">
        <f>COUNTIFS('All runs'!$A$2:$A$27,A11,'All runs'!$C$2:$C$27,B11)</f>
        <v/>
      </c>
      <c r="D11" s="2">
        <f>IF(C11=0,"n/a",AVERAGEIFS('All runs'!$F$2:$F$27,'All runs'!$A$2:$A$27,A11,'All runs'!$C$2:$C$27,B11))</f>
        <v/>
      </c>
      <c r="E11" s="2">
        <f>IF(C11&gt;1,SQRT((SUMPRODUCT(('All runs'!$A$2:$A$27=A11)*('All runs'!$C$2:$C$27=B11)*'All runs'!$F$2:$F$27^2)-C11*D11^2)/(C11-1)),0)</f>
        <v/>
      </c>
      <c r="F11" s="2" t="inlineStr">
        <is>
          <t>n/a</t>
        </is>
      </c>
      <c r="G11" s="2">
        <f>IF(ISNUMBER(F11),D11-F11,"n/a")</f>
        <v/>
      </c>
      <c r="H11" s="2">
        <f>IF(C11&gt;1,E11*SQRT((C11-1)/C11),0)</f>
        <v/>
      </c>
    </row>
    <row r="12">
      <c r="A12" t="inlineStr">
        <is>
          <t>fewrel_defon10k</t>
        </is>
      </c>
      <c r="B12" t="inlineStr">
        <is>
          <t>initial</t>
        </is>
      </c>
      <c r="C12">
        <f>COUNTIFS('All runs'!$A$2:$A$27,A12,'All runs'!$C$2:$C$27,B12)</f>
        <v/>
      </c>
      <c r="D12" s="2">
        <f>IF(C12=0,"n/a",AVERAGEIFS('All runs'!$F$2:$F$27,'All runs'!$A$2:$A$27,A12,'All runs'!$C$2:$C$27,B12))</f>
        <v/>
      </c>
      <c r="E12" s="2">
        <f>IF(C12&gt;1,SQRT((SUMPRODUCT(('All runs'!$A$2:$A$27=A12)*('All runs'!$C$2:$C$27=B12)*'All runs'!$F$2:$F$27^2)-C12*D12^2)/(C12-1)),0)</f>
        <v/>
      </c>
      <c r="F12" s="2" t="inlineStr">
        <is>
          <t>n/a</t>
        </is>
      </c>
      <c r="G12" s="2">
        <f>IF(ISNUMBER(F12),D12-F12,"n/a")</f>
        <v/>
      </c>
      <c r="H12" s="2">
        <f>IF(C12&gt;1,E12*SQRT((C12-1)/C12),0)</f>
        <v/>
      </c>
    </row>
    <row r="13">
      <c r="A13" t="inlineStr">
        <is>
          <t>fewrel_defon10k</t>
        </is>
      </c>
      <c r="B13" t="inlineStr">
        <is>
          <t>followup</t>
        </is>
      </c>
      <c r="C13">
        <f>COUNTIFS('All runs'!$A$2:$A$27,A13,'All runs'!$C$2:$C$27,B13)</f>
        <v/>
      </c>
      <c r="D13" s="2">
        <f>IF(C13=0,"n/a",AVERAGEIFS('All runs'!$F$2:$F$27,'All runs'!$A$2:$A$27,A13,'All runs'!$C$2:$C$27,B13))</f>
        <v/>
      </c>
      <c r="E13" s="2">
        <f>IF(C13&gt;1,SQRT((SUMPRODUCT(('All runs'!$A$2:$A$27=A13)*('All runs'!$C$2:$C$27=B13)*'All runs'!$F$2:$F$27^2)-C13*D13^2)/(C13-1)),0)</f>
        <v/>
      </c>
      <c r="F13" s="2" t="inlineStr">
        <is>
          <t>n/a</t>
        </is>
      </c>
      <c r="G13" s="2">
        <f>IF(ISNUMBER(F13),D13-F13,"n/a")</f>
        <v/>
      </c>
      <c r="H13" s="2">
        <f>IF(C13&gt;1,E13*SQRT((C13-1)/C13),0)</f>
        <v/>
      </c>
    </row>
    <row r="15">
      <c r="A15" t="inlineStr">
        <is>
          <t>std F1 uses n-1 (sample std; 0 when only one split); results/aggregate.csv instead reports the population std (column H). Means/stds are live formulas over 'All runs'.</t>
        </is>
      </c>
    </row>
    <row r="16">
      <c r="A16" t="inlineStr">
        <is>
          <t>Paper F1 exists only for the followup stage of fewrel_defon / wikizsl_defon (arXiv 2402.11142v2 Table 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70" customWidth="1" min="3" max="3"/>
  </cols>
  <sheetData>
    <row r="1">
      <c r="A1" s="1" t="inlineStr">
        <is>
          <t>dataset</t>
        </is>
      </c>
      <c r="B1" s="1" t="inlineStr">
        <is>
          <t>where the rows came from</t>
        </is>
      </c>
      <c r="C1" s="1" t="inlineStr">
        <is>
          <t>evidence</t>
        </is>
      </c>
    </row>
    <row r="2">
      <c r="A2" s="3" t="inlineStr">
        <is>
          <t>fewrel_defon</t>
        </is>
      </c>
      <c r="B2" s="3" t="inlineStr">
        <is>
          <t>Authors' released data: reproduce_main_data/data/fewrel_defon_{1..5}; our own training runs on it. Both stages use the authors' cached GPT-4o synthesis (no live OpenAI calls).</t>
        </is>
      </c>
      <c r="C2" s="3" t="inlineStr">
        <is>
          <t>results/fewrel_defon_*/*/config.json: llm_model_ckpt=gpt-4o-2024-05-13; run.log shows no API requests</t>
        </is>
      </c>
    </row>
    <row r="3">
      <c r="A3" s="3" t="inlineStr">
        <is>
          <t>wikizsl_defon</t>
        </is>
      </c>
      <c r="B3" s="3" t="inlineStr">
        <is>
          <t>Same as fewrel_defon, using reproduce_main_data/data/wikizsl_defon_{1..3} and the cached GPT-4o bundle.</t>
        </is>
      </c>
      <c r="C3" s="3" t="inlineStr">
        <is>
          <t>results/wikizsl_defon_*/*/config.json</t>
        </is>
      </c>
    </row>
    <row r="4">
      <c r="A4" s="3" t="inlineStr">
        <is>
          <t>semeval</t>
        </is>
      </c>
      <c r="B4" s="3" t="inlineStr">
        <is>
          <t>Own dataset build: tools/build_semeval_defon.py from FewRel 2.0 val_semeval.json (SemEval-2010 Task 8). Own run with a LOCAL LLM, Qwen2.5-32B-Instruct-AWQ (not Qwen3) for both stages.</t>
        </is>
      </c>
      <c r="C4" s="3" t="inlineStr">
        <is>
          <t>results/semeval_1/*/config.json: llm_model_ckpt=Qwen/Qwen2.5-32B-Instruct-AWQ</t>
        </is>
      </c>
    </row>
    <row r="5">
      <c r="A5" s="3" t="inlineStr">
        <is>
          <t>semeval_qwen3</t>
        </is>
      </c>
      <c r="B5" s="3" t="inlineStr">
        <is>
          <t>Same data as semeval_1 (copied json, no cache), regenerated with Qwen/Qwen3-32B-AWQ as the generator LLM. Own run. Compare with semeval only as a generator-LLM comparison.</t>
        </is>
      </c>
      <c r="C5" s="3" t="inlineStr">
        <is>
          <t>results/semeval_qwen3_1/*/config.json: llm_model_ckpt=Qwen/Qwen3-32B-AWQ</t>
        </is>
      </c>
    </row>
    <row r="6">
      <c r="A6" s="3" t="inlineStr">
        <is>
          <t>nyt</t>
        </is>
      </c>
      <c r="B6" s="3" t="inlineStr">
        <is>
          <t>Own dataset build: tools/build_nyt_defon.py from FewRel 2.0 val_nyt.json. Own run, local Qwen2.5-32B-Instruct-AWQ. (The pending 'nyt_qwen3' run does not exist yet and is not in this workbook.)</t>
        </is>
      </c>
      <c r="C6" s="3" t="inlineStr">
        <is>
          <t>results/nyt_1/*/config.json: llm_model_ckpt=Qwen/Qwen2.5-32B-Instruct-AWQ</t>
        </is>
      </c>
    </row>
    <row r="7">
      <c r="A7" s="3" t="inlineStr">
        <is>
          <t>fewrel_defon10k</t>
        </is>
      </c>
      <c r="B7" s="3" t="inlineStr">
        <is>
          <t>Own run on the authors' FewRel split with the unlabeled pool down-sampled to 10,000 (tools/build_fewrel_10k_pool.py). MIXED generators: initial stage reuses the authors' cached GPT-4o seed examples; followup stage was generated live by Qwen2.5-32B-Instruct-AWQ because the cached GPT-4o follow-up examples depend on the 100k pool and were not copied.</t>
        </is>
      </c>
      <c r="C7" s="3" t="inlineStr">
        <is>
          <t>tools/build_fewrel_10k_pool.py docstring; results/fewrel_defon10k_*/followup/config.json</t>
        </is>
      </c>
    </row>
    <row r="8">
      <c r="A8" s="3" t="inlineStr">
        <is>
          <t>(not included) archive/semeval_1_gpt4o</t>
        </is>
      </c>
      <c r="B8" s="3" t="inlineStr">
        <is>
          <t>Earlier SemEval run with live GPT-4o: initial-stage F1 0.357; followup stopped when OpenAI credits ran out. Kept in results/archive and data/archive; not in the tables above.</t>
        </is>
      </c>
      <c r="C8" s="3" t="inlineStr">
        <is>
          <t>results/archive/semeval_1_gpt4o/README.txt</t>
        </is>
      </c>
    </row>
    <row r="10">
      <c r="A10" t="inlineStr">
        <is>
          <t>Generated 2026-10-10 by update_video/make_results_xlsx.py from results/*/*/metrics.json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2026-10-10T03:04:36Z</dcterms:created>
  <dcterms:modified xsi:type="dcterms:W3CDTF">2026-10-10T03:04:36Z</dcterms:modified>
</cp:coreProperties>
</file>